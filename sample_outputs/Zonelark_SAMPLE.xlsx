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onelark FCA Log" state="visible" r:id="rId4"/>
    <sheet sheetId="2" name="output-capX" state="visible" r:id="rId5"/>
  </sheets>
  <calcPr calcId="171027"/>
</workbook>
</file>

<file path=xl/sharedStrings.xml><?xml version="1.0" encoding="utf-8"?>
<sst xmlns="http://schemas.openxmlformats.org/spreadsheetml/2006/main" count="222" uniqueCount="171">
  <si>
    <t>Fixed ID Number</t>
  </si>
  <si>
    <t>Facility Name</t>
  </si>
  <si>
    <t>Facility Type/Usage</t>
  </si>
  <si>
    <t>Facility Level/Floor</t>
  </si>
  <si>
    <t>Room Number</t>
  </si>
  <si>
    <t>Room Name</t>
  </si>
  <si>
    <t>Area / Asset Served</t>
  </si>
  <si>
    <t>Asset / CMMS ID (e.g. TAG #)</t>
  </si>
  <si>
    <t>Asset Name (e.g. AHU-3)</t>
  </si>
  <si>
    <t>Asset Manufacturer</t>
  </si>
  <si>
    <t>Asset Model Number</t>
  </si>
  <si>
    <t>Asset Serial Number</t>
  </si>
  <si>
    <t>Asset Approximate Install Year</t>
  </si>
  <si>
    <t>Notes/Comments</t>
  </si>
  <si>
    <t>FCA 1-5</t>
  </si>
  <si>
    <t>Asset Type</t>
  </si>
  <si>
    <t>Asset "Size"</t>
  </si>
  <si>
    <t>Asset Quantity Multiplier</t>
  </si>
  <si>
    <t>Unit of Measure</t>
  </si>
  <si>
    <t>Asset Repair or Replace</t>
  </si>
  <si>
    <t>Uniformat Level 2</t>
  </si>
  <si>
    <t>Industry Life Expectancy</t>
  </si>
  <si>
    <t>Industry Replacement Year</t>
  </si>
  <si>
    <t>Industry Life Remaining</t>
  </si>
  <si>
    <t>Estimated / Observed Life Remaining</t>
  </si>
  <si>
    <t>Observed Replacement Year</t>
  </si>
  <si>
    <t xml:space="preserve">Unit Probable Cost ($)
(MANUAL ENTRY POSSIBLE)</t>
  </si>
  <si>
    <t>Extended Probable Cost ($)</t>
  </si>
  <si>
    <t>Depreciated Value</t>
  </si>
  <si>
    <t>Annual Maintenance</t>
  </si>
  <si>
    <t>Facility Square Feet</t>
  </si>
  <si>
    <t>Date of Assessment</t>
  </si>
  <si>
    <t>Operational Impact (1-5)</t>
  </si>
  <si>
    <t>Energy Impact (1-5)</t>
  </si>
  <si>
    <t>01</t>
  </si>
  <si>
    <t>Riverside Medical Center</t>
  </si>
  <si>
    <t>Healthcare</t>
  </si>
  <si>
    <t>Basement</t>
  </si>
  <si>
    <t>B-101</t>
  </si>
  <si>
    <t>Mechanical Room</t>
  </si>
  <si>
    <t>ICU Wing / OR Suite</t>
  </si>
  <si>
    <t>AHU-001</t>
  </si>
  <si>
    <t>AHU-1</t>
  </si>
  <si>
    <t>Carrier</t>
  </si>
  <si>
    <t>39MBB030</t>
  </si>
  <si>
    <t>2918KA07263</t>
  </si>
  <si>
    <t>Minor corrosion on drain pan. Filter housing bent.</t>
  </si>
  <si>
    <t>Air Handling Unit</t>
  </si>
  <si>
    <t>30 Ton</t>
  </si>
  <si>
    <t>EA</t>
  </si>
  <si>
    <t>Repair</t>
  </si>
  <si>
    <t>D30 HVAC</t>
  </si>
  <si>
    <t>2026-06-25</t>
  </si>
  <si>
    <t>Roof Level</t>
  </si>
  <si>
    <t>R-01</t>
  </si>
  <si>
    <t>Rooftop Mechanical</t>
  </si>
  <si>
    <t>Admin Wing</t>
  </si>
  <si>
    <t>RTU-002</t>
  </si>
  <si>
    <t>RTU-2</t>
  </si>
  <si>
    <t>Lennox</t>
  </si>
  <si>
    <t>LGH240H4BM1G</t>
  </si>
  <si>
    <t>5820H24568</t>
  </si>
  <si>
    <t>Economizer damper seized. Refrigerant charge OK.</t>
  </si>
  <si>
    <t>Packaged Rooftop Unit</t>
  </si>
  <si>
    <t>20 Ton</t>
  </si>
  <si>
    <t>B-102</t>
  </si>
  <si>
    <t>Boiler Room</t>
  </si>
  <si>
    <t>Perimeter Radiation / Domestic HW</t>
  </si>
  <si>
    <t>BLRP-001</t>
  </si>
  <si>
    <t>BLR-1</t>
  </si>
  <si>
    <t>Cleaver-Brooks</t>
  </si>
  <si>
    <t>ClearFire-C CF-200</t>
  </si>
  <si>
    <t>CB-20213847</t>
  </si>
  <si>
    <t>Annual service completed. Burner assembly cleaned.</t>
  </si>
  <si>
    <t>Boiler</t>
  </si>
  <si>
    <t>200 BHP</t>
  </si>
  <si>
    <t>Maintain</t>
  </si>
  <si>
    <t>02</t>
  </si>
  <si>
    <t>2nd Floor</t>
  </si>
  <si>
    <t>E-201</t>
  </si>
  <si>
    <t>Electrical Room</t>
  </si>
  <si>
    <t>Full Building</t>
  </si>
  <si>
    <t>XFMR-001</t>
  </si>
  <si>
    <t>XFMR-1</t>
  </si>
  <si>
    <t>Square D</t>
  </si>
  <si>
    <t>EX75T3HCU</t>
  </si>
  <si>
    <t>9827A44821</t>
  </si>
  <si>
    <t>Discoloration on secondary terminals. NETA test recommended.</t>
  </si>
  <si>
    <t>Dry Type Transformer</t>
  </si>
  <si>
    <t>75 kVA / 480-208Y/120V</t>
  </si>
  <si>
    <t>Replace</t>
  </si>
  <si>
    <t>D50 Electrical</t>
  </si>
  <si>
    <t>Critical Life Safety Circuit</t>
  </si>
  <si>
    <t>GENSET-001</t>
  </si>
  <si>
    <t>GENSET-1</t>
  </si>
  <si>
    <t>Cummins</t>
  </si>
  <si>
    <t>C500D6R</t>
  </si>
  <si>
    <t>J-100012245</t>
  </si>
  <si>
    <t>Load bank test 2025-11. Transfer time within spec.</t>
  </si>
  <si>
    <t>Emergency Generator</t>
  </si>
  <si>
    <t>500 kW / 480V</t>
  </si>
  <si>
    <t>B-105</t>
  </si>
  <si>
    <t>Domestic Water Room</t>
  </si>
  <si>
    <t>Building-Wide DHW</t>
  </si>
  <si>
    <t>WH-001</t>
  </si>
  <si>
    <t>WH-1</t>
  </si>
  <si>
    <t>A.O. Smith</t>
  </si>
  <si>
    <t>BTXL-120-ASME</t>
  </si>
  <si>
    <t>AOS-190874621</t>
  </si>
  <si>
    <t>Sacrificial anode condition unknown. Schedule service.</t>
  </si>
  <si>
    <t>Commercial Water Heater</t>
  </si>
  <si>
    <t>120 Gal / 300 MBH</t>
  </si>
  <si>
    <t>D20 Plumbing</t>
  </si>
  <si>
    <t>B-110</t>
  </si>
  <si>
    <t>Fire Pump Room</t>
  </si>
  <si>
    <t>Sprinkler System – Full Building</t>
  </si>
  <si>
    <t>FP-001</t>
  </si>
  <si>
    <t>FP-1</t>
  </si>
  <si>
    <t>Peerless</t>
  </si>
  <si>
    <t>AE4AE-20</t>
  </si>
  <si>
    <t>PRL-20172271</t>
  </si>
  <si>
    <t>Annual fire pump test passed. Packing gland drips slightly.</t>
  </si>
  <si>
    <t>Fire Pump</t>
  </si>
  <si>
    <t>750 GPM @ 100 PSI</t>
  </si>
  <si>
    <t>D40 Fire Protection</t>
  </si>
  <si>
    <t>1st Floor</t>
  </si>
  <si>
    <t>112</t>
  </si>
  <si>
    <t>Fire Command Center</t>
  </si>
  <si>
    <t>Campus-Wide Life Safety</t>
  </si>
  <si>
    <t>FACP-001</t>
  </si>
  <si>
    <t>FACP-1</t>
  </si>
  <si>
    <t>Notifier</t>
  </si>
  <si>
    <t>NFS2-3030</t>
  </si>
  <si>
    <t>NTF-20091188</t>
  </si>
  <si>
    <t>Firmware out of support. Six zone cards showing supervisory fault.</t>
  </si>
  <si>
    <t>Fire Alarm Control Panel</t>
  </si>
  <si>
    <t>3030 Points</t>
  </si>
  <si>
    <t>TOTALS / PORTFOLIO SUMMARY</t>
  </si>
  <si>
    <t>Inflation Rate:</t>
  </si>
  <si>
    <t>NPV (30 Yr)</t>
  </si>
  <si>
    <t>Year. 1</t>
  </si>
  <si>
    <t>Year. 2</t>
  </si>
  <si>
    <t>Year. 3</t>
  </si>
  <si>
    <t>Year. 4</t>
  </si>
  <si>
    <t>Year. 5</t>
  </si>
  <si>
    <t>Year. 6</t>
  </si>
  <si>
    <t>Year. 7</t>
  </si>
  <si>
    <t>Year. 8</t>
  </si>
  <si>
    <t>Year. 9</t>
  </si>
  <si>
    <t>Year. 10</t>
  </si>
  <si>
    <t>Year. 11</t>
  </si>
  <si>
    <t>Year. 12</t>
  </si>
  <si>
    <t>Year. 13</t>
  </si>
  <si>
    <t>Year. 14</t>
  </si>
  <si>
    <t>Year. 15</t>
  </si>
  <si>
    <t>Year. 16</t>
  </si>
  <si>
    <t>Year. 17</t>
  </si>
  <si>
    <t>Year. 18</t>
  </si>
  <si>
    <t>Year. 19</t>
  </si>
  <si>
    <t>Year. 20</t>
  </si>
  <si>
    <t>Year. 21</t>
  </si>
  <si>
    <t>Year. 22</t>
  </si>
  <si>
    <t>Year. 23</t>
  </si>
  <si>
    <t>Year. 24</t>
  </si>
  <si>
    <t>Year. 25</t>
  </si>
  <si>
    <t>Year. 26</t>
  </si>
  <si>
    <t>Year. 27</t>
  </si>
  <si>
    <t>Year. 28</t>
  </si>
  <si>
    <t>Year. 29</t>
  </si>
  <si>
    <t>Year. 30</t>
  </si>
  <si>
    <t>TOTAL — ALL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</si>
</sst>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Segoe UI"/>
    </font>
    <font>
      <sz val="9"/>
      <name val="Segoe UI"/>
    </font>
    <font>
      <b/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2C3D"/>
      </patternFill>
    </fill>
    <fill>
      <patternFill patternType="solid">
        <fgColor rgb="FFE2EFDA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bottom" wrapText="1" textRotation="60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bottom" wrapText="1"/>
    </xf>
    <xf numFmtId="0" fontId="1" fillId="2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6" max="7" width="16" customWidth="1"/>
    <col min="8" max="9" width="12" customWidth="1"/>
    <col min="10" max="10" width="16" customWidth="1"/>
    <col min="11" max="12" width="14" customWidth="1"/>
    <col min="13" max="13" width="8" customWidth="1"/>
    <col min="14" max="14" width="22" customWidth="1"/>
    <col min="15" max="15" width="6" customWidth="1"/>
    <col min="16" max="16" width="18" customWidth="1"/>
    <col min="17" max="17" width="10" customWidth="1"/>
    <col min="18" max="19" width="6" customWidth="1"/>
    <col min="20" max="20" width="10" customWidth="1"/>
    <col min="21" max="21" width="18" customWidth="1"/>
    <col min="22" max="26" width="8" customWidth="1"/>
    <col min="27" max="29" width="14" customWidth="1"/>
    <col min="30" max="30" width="13" customWidth="1"/>
    <col min="31" max="31" width="10" customWidth="1"/>
    <col min="32" max="32" width="11" customWidth="1"/>
    <col min="33" max="34" width="10" customWidth="1"/>
  </cols>
  <sheetData>
    <row r="1" ht="12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8" customHeight="1" spans="1:34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3">
        <v>2008</v>
      </c>
      <c r="N2" s="2" t="s">
        <v>46</v>
      </c>
      <c r="O2" s="4">
        <v>3</v>
      </c>
      <c r="P2" s="2" t="s">
        <v>47</v>
      </c>
      <c r="Q2" s="2" t="s">
        <v>48</v>
      </c>
      <c r="R2" s="4">
        <v>1</v>
      </c>
      <c r="S2" s="2" t="s">
        <v>49</v>
      </c>
      <c r="T2" s="2" t="s">
        <v>50</v>
      </c>
      <c r="U2" s="2" t="s">
        <v>51</v>
      </c>
      <c r="V2" s="3">
        <v>20</v>
      </c>
      <c r="W2" s="3">
        <f>M2+V2</f>
      </c>
      <c r="X2" s="3">
        <f>W2-2026</f>
      </c>
      <c r="Y2" s="3">
        <v>4</v>
      </c>
      <c r="Z2" s="3">
        <v>2030</v>
      </c>
      <c r="AA2" s="5">
        <v>18000</v>
      </c>
      <c r="AB2" s="6">
        <f>R2*AA2</f>
      </c>
      <c r="AC2" s="6">
        <f>IF(20&gt;0,AB2*MAX(0,X2)/20,0)</f>
      </c>
      <c r="AD2" s="6">
        <f>AB2*0.03</f>
      </c>
      <c r="AE2" s="7">
        <v>85000</v>
      </c>
      <c r="AF2" s="8" t="s">
        <v>52</v>
      </c>
      <c r="AG2" s="3">
        <v>5</v>
      </c>
      <c r="AH2" s="3">
        <v>5</v>
      </c>
    </row>
    <row r="3" ht="18" customHeight="1" spans="1:34" x14ac:dyDescent="0.25">
      <c r="A3" s="9" t="s">
        <v>34</v>
      </c>
      <c r="B3" s="9" t="s">
        <v>35</v>
      </c>
      <c r="C3" s="9" t="s">
        <v>36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10">
        <v>2015</v>
      </c>
      <c r="N3" s="9" t="s">
        <v>62</v>
      </c>
      <c r="O3" s="11">
        <v>2</v>
      </c>
      <c r="P3" s="9" t="s">
        <v>63</v>
      </c>
      <c r="Q3" s="9" t="s">
        <v>64</v>
      </c>
      <c r="R3" s="11">
        <v>1</v>
      </c>
      <c r="S3" s="9" t="s">
        <v>49</v>
      </c>
      <c r="T3" s="9" t="s">
        <v>50</v>
      </c>
      <c r="U3" s="9" t="s">
        <v>51</v>
      </c>
      <c r="V3" s="10">
        <v>15</v>
      </c>
      <c r="W3" s="10">
        <f>M3+V3</f>
      </c>
      <c r="X3" s="10">
        <f>W3-2026</f>
      </c>
      <c r="Y3" s="10">
        <v>2</v>
      </c>
      <c r="Z3" s="10">
        <v>2028</v>
      </c>
      <c r="AA3" s="5">
        <v>22000</v>
      </c>
      <c r="AB3" s="12">
        <f>R3*AA3</f>
      </c>
      <c r="AC3" s="12">
        <f>IF(15&gt;0,AB3*MAX(0,X3)/15,0)</f>
      </c>
      <c r="AD3" s="12">
        <f>AB3*0.03</f>
      </c>
      <c r="AE3" s="13">
        <v>85000</v>
      </c>
      <c r="AF3" s="14" t="s">
        <v>52</v>
      </c>
      <c r="AG3" s="10">
        <v>4</v>
      </c>
      <c r="AH3" s="10">
        <v>5</v>
      </c>
    </row>
    <row r="4" ht="18" customHeight="1" spans="1:34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3">
        <v>2012</v>
      </c>
      <c r="N4" s="2" t="s">
        <v>73</v>
      </c>
      <c r="O4" s="4">
        <v>4</v>
      </c>
      <c r="P4" s="2" t="s">
        <v>74</v>
      </c>
      <c r="Q4" s="2" t="s">
        <v>75</v>
      </c>
      <c r="R4" s="4">
        <v>2</v>
      </c>
      <c r="S4" s="2" t="s">
        <v>49</v>
      </c>
      <c r="T4" s="2" t="s">
        <v>76</v>
      </c>
      <c r="U4" s="2" t="s">
        <v>51</v>
      </c>
      <c r="V4" s="3">
        <v>25</v>
      </c>
      <c r="W4" s="3">
        <f>M4+V4</f>
      </c>
      <c r="X4" s="3">
        <f>W4-2026</f>
      </c>
      <c r="Y4" s="3">
        <v>11</v>
      </c>
      <c r="Z4" s="3">
        <v>2037</v>
      </c>
      <c r="AA4" s="5">
        <v>48000</v>
      </c>
      <c r="AB4" s="6">
        <f>R4*AA4</f>
      </c>
      <c r="AC4" s="6">
        <f>IF(25&gt;0,AB4*MAX(0,X4)/25,0)</f>
      </c>
      <c r="AD4" s="6">
        <f>AB4*0.02</f>
      </c>
      <c r="AE4" s="7">
        <v>85000</v>
      </c>
      <c r="AF4" s="8" t="s">
        <v>52</v>
      </c>
      <c r="AG4" s="3">
        <v>5</v>
      </c>
      <c r="AH4" s="3">
        <v>4</v>
      </c>
    </row>
    <row r="5" ht="18" customHeight="1" spans="1:34" x14ac:dyDescent="0.25">
      <c r="A5" s="9" t="s">
        <v>77</v>
      </c>
      <c r="B5" s="9" t="s">
        <v>35</v>
      </c>
      <c r="C5" s="9" t="s">
        <v>36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  <c r="K5" s="9" t="s">
        <v>85</v>
      </c>
      <c r="L5" s="9" t="s">
        <v>86</v>
      </c>
      <c r="M5" s="10">
        <v>2005</v>
      </c>
      <c r="N5" s="9" t="s">
        <v>87</v>
      </c>
      <c r="O5" s="11">
        <v>2</v>
      </c>
      <c r="P5" s="9" t="s">
        <v>88</v>
      </c>
      <c r="Q5" s="9" t="s">
        <v>89</v>
      </c>
      <c r="R5" s="11">
        <v>1</v>
      </c>
      <c r="S5" s="9" t="s">
        <v>49</v>
      </c>
      <c r="T5" s="9" t="s">
        <v>90</v>
      </c>
      <c r="U5" s="9" t="s">
        <v>91</v>
      </c>
      <c r="V5" s="10">
        <v>35</v>
      </c>
      <c r="W5" s="10">
        <f>M5+V5</f>
      </c>
      <c r="X5" s="10">
        <f>W5-2026</f>
      </c>
      <c r="Y5" s="10">
        <v>1</v>
      </c>
      <c r="Z5" s="10">
        <v>2027</v>
      </c>
      <c r="AA5" s="5">
        <v>20000</v>
      </c>
      <c r="AB5" s="12">
        <f>R5*AA5</f>
      </c>
      <c r="AC5" s="12">
        <f>IF(35&gt;0,AB5*MAX(0,X5)/35,0)</f>
      </c>
      <c r="AD5" s="12">
        <f>AB5*0.01</f>
      </c>
      <c r="AE5" s="13">
        <v>85000</v>
      </c>
      <c r="AF5" s="14" t="s">
        <v>52</v>
      </c>
      <c r="AG5" s="10">
        <v>5</v>
      </c>
      <c r="AH5" s="10">
        <v>1</v>
      </c>
    </row>
    <row r="6" ht="18" customHeight="1" spans="1:34" x14ac:dyDescent="0.25">
      <c r="A6" s="2" t="s">
        <v>77</v>
      </c>
      <c r="B6" s="2" t="s">
        <v>35</v>
      </c>
      <c r="C6" s="2" t="s">
        <v>36</v>
      </c>
      <c r="D6" s="2" t="s">
        <v>78</v>
      </c>
      <c r="E6" s="2" t="s">
        <v>79</v>
      </c>
      <c r="F6" s="2" t="s">
        <v>80</v>
      </c>
      <c r="G6" s="2" t="s">
        <v>92</v>
      </c>
      <c r="H6" s="2" t="s">
        <v>93</v>
      </c>
      <c r="I6" s="2" t="s">
        <v>94</v>
      </c>
      <c r="J6" s="2" t="s">
        <v>95</v>
      </c>
      <c r="K6" s="2" t="s">
        <v>96</v>
      </c>
      <c r="L6" s="2" t="s">
        <v>97</v>
      </c>
      <c r="M6" s="3">
        <v>2018</v>
      </c>
      <c r="N6" s="2" t="s">
        <v>98</v>
      </c>
      <c r="O6" s="4">
        <v>5</v>
      </c>
      <c r="P6" s="2" t="s">
        <v>99</v>
      </c>
      <c r="Q6" s="2" t="s">
        <v>100</v>
      </c>
      <c r="R6" s="4">
        <v>1</v>
      </c>
      <c r="S6" s="2" t="s">
        <v>49</v>
      </c>
      <c r="T6" s="2" t="s">
        <v>76</v>
      </c>
      <c r="U6" s="2" t="s">
        <v>91</v>
      </c>
      <c r="V6" s="3">
        <v>25</v>
      </c>
      <c r="W6" s="3">
        <f>M6+V6</f>
      </c>
      <c r="X6" s="3">
        <f>W6-2026</f>
      </c>
      <c r="Y6" s="3">
        <v>17</v>
      </c>
      <c r="Z6" s="3">
        <v>2043</v>
      </c>
      <c r="AA6" s="5">
        <v>60000</v>
      </c>
      <c r="AB6" s="6">
        <f>R6*AA6</f>
      </c>
      <c r="AC6" s="6">
        <f>IF(25&gt;0,AB6*MAX(0,X6)/25,0)</f>
      </c>
      <c r="AD6" s="6">
        <f>AB6*0.04</f>
      </c>
      <c r="AE6" s="7">
        <v>85000</v>
      </c>
      <c r="AF6" s="8" t="s">
        <v>52</v>
      </c>
      <c r="AG6" s="3">
        <v>5</v>
      </c>
      <c r="AH6" s="3">
        <v>2</v>
      </c>
    </row>
    <row r="7" ht="18" customHeight="1" spans="1:34" x14ac:dyDescent="0.25">
      <c r="A7" s="9" t="s">
        <v>34</v>
      </c>
      <c r="B7" s="9" t="s">
        <v>35</v>
      </c>
      <c r="C7" s="9" t="s">
        <v>36</v>
      </c>
      <c r="D7" s="9" t="s">
        <v>37</v>
      </c>
      <c r="E7" s="9" t="s">
        <v>101</v>
      </c>
      <c r="F7" s="9" t="s">
        <v>102</v>
      </c>
      <c r="G7" s="9" t="s">
        <v>103</v>
      </c>
      <c r="H7" s="9" t="s">
        <v>104</v>
      </c>
      <c r="I7" s="9" t="s">
        <v>105</v>
      </c>
      <c r="J7" s="9" t="s">
        <v>106</v>
      </c>
      <c r="K7" s="9" t="s">
        <v>107</v>
      </c>
      <c r="L7" s="9" t="s">
        <v>108</v>
      </c>
      <c r="M7" s="10">
        <v>2017</v>
      </c>
      <c r="N7" s="9" t="s">
        <v>109</v>
      </c>
      <c r="O7" s="11">
        <v>3</v>
      </c>
      <c r="P7" s="9" t="s">
        <v>110</v>
      </c>
      <c r="Q7" s="9" t="s">
        <v>111</v>
      </c>
      <c r="R7" s="11">
        <v>3</v>
      </c>
      <c r="S7" s="9" t="s">
        <v>49</v>
      </c>
      <c r="T7" s="9" t="s">
        <v>76</v>
      </c>
      <c r="U7" s="9" t="s">
        <v>112</v>
      </c>
      <c r="V7" s="10">
        <v>15</v>
      </c>
      <c r="W7" s="10">
        <f>M7+V7</f>
      </c>
      <c r="X7" s="10">
        <f>W7-2026</f>
      </c>
      <c r="Y7" s="10">
        <v>6</v>
      </c>
      <c r="Z7" s="10">
        <v>2032</v>
      </c>
      <c r="AA7" s="5">
        <v>9500</v>
      </c>
      <c r="AB7" s="12">
        <f>R7*AA7</f>
      </c>
      <c r="AC7" s="12">
        <f>IF(15&gt;0,AB7*MAX(0,X7)/15,0)</f>
      </c>
      <c r="AD7" s="12">
        <f>AB7*0.025</f>
      </c>
      <c r="AE7" s="13">
        <v>85000</v>
      </c>
      <c r="AF7" s="14" t="s">
        <v>52</v>
      </c>
      <c r="AG7" s="10">
        <v>4</v>
      </c>
      <c r="AH7" s="10">
        <v>2</v>
      </c>
    </row>
    <row r="8" ht="18" customHeight="1" spans="1:34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113</v>
      </c>
      <c r="F8" s="2" t="s">
        <v>114</v>
      </c>
      <c r="G8" s="2" t="s">
        <v>115</v>
      </c>
      <c r="H8" s="2" t="s">
        <v>116</v>
      </c>
      <c r="I8" s="2" t="s">
        <v>117</v>
      </c>
      <c r="J8" s="2" t="s">
        <v>118</v>
      </c>
      <c r="K8" s="2" t="s">
        <v>119</v>
      </c>
      <c r="L8" s="2" t="s">
        <v>120</v>
      </c>
      <c r="M8" s="3">
        <v>2010</v>
      </c>
      <c r="N8" s="2" t="s">
        <v>121</v>
      </c>
      <c r="O8" s="4">
        <v>4</v>
      </c>
      <c r="P8" s="2" t="s">
        <v>122</v>
      </c>
      <c r="Q8" s="2" t="s">
        <v>123</v>
      </c>
      <c r="R8" s="4">
        <v>1</v>
      </c>
      <c r="S8" s="2" t="s">
        <v>49</v>
      </c>
      <c r="T8" s="2" t="s">
        <v>76</v>
      </c>
      <c r="U8" s="2" t="s">
        <v>124</v>
      </c>
      <c r="V8" s="3">
        <v>20</v>
      </c>
      <c r="W8" s="3">
        <f>M8+V8</f>
      </c>
      <c r="X8" s="3">
        <f>W8-2026</f>
      </c>
      <c r="Y8" s="3">
        <v>4</v>
      </c>
      <c r="Z8" s="3">
        <v>2030</v>
      </c>
      <c r="AA8" s="5">
        <v>20000</v>
      </c>
      <c r="AB8" s="6">
        <f>R8*AA8</f>
      </c>
      <c r="AC8" s="6">
        <f>IF(20&gt;0,AB8*MAX(0,X8)/20,0)</f>
      </c>
      <c r="AD8" s="6">
        <f>AB8*0.03</f>
      </c>
      <c r="AE8" s="7">
        <v>85000</v>
      </c>
      <c r="AF8" s="8" t="s">
        <v>52</v>
      </c>
      <c r="AG8" s="3">
        <v>5</v>
      </c>
      <c r="AH8" s="3">
        <v>1</v>
      </c>
    </row>
    <row r="9" ht="18" customHeight="1" spans="1:34" x14ac:dyDescent="0.25">
      <c r="A9" s="9" t="s">
        <v>34</v>
      </c>
      <c r="B9" s="9" t="s">
        <v>35</v>
      </c>
      <c r="C9" s="9" t="s">
        <v>36</v>
      </c>
      <c r="D9" s="9" t="s">
        <v>125</v>
      </c>
      <c r="E9" s="9" t="s">
        <v>126</v>
      </c>
      <c r="F9" s="9" t="s">
        <v>127</v>
      </c>
      <c r="G9" s="9" t="s">
        <v>128</v>
      </c>
      <c r="H9" s="9" t="s">
        <v>129</v>
      </c>
      <c r="I9" s="9" t="s">
        <v>130</v>
      </c>
      <c r="J9" s="9" t="s">
        <v>131</v>
      </c>
      <c r="K9" s="9" t="s">
        <v>132</v>
      </c>
      <c r="L9" s="9" t="s">
        <v>133</v>
      </c>
      <c r="M9" s="10">
        <v>2009</v>
      </c>
      <c r="N9" s="9" t="s">
        <v>134</v>
      </c>
      <c r="O9" s="11">
        <v>2</v>
      </c>
      <c r="P9" s="9" t="s">
        <v>135</v>
      </c>
      <c r="Q9" s="9" t="s">
        <v>136</v>
      </c>
      <c r="R9" s="11">
        <v>1</v>
      </c>
      <c r="S9" s="9" t="s">
        <v>49</v>
      </c>
      <c r="T9" s="9" t="s">
        <v>90</v>
      </c>
      <c r="U9" s="9" t="s">
        <v>124</v>
      </c>
      <c r="V9" s="10">
        <v>15</v>
      </c>
      <c r="W9" s="10">
        <f>M9+V9</f>
      </c>
      <c r="X9" s="10">
        <f>W9-2026</f>
      </c>
      <c r="Y9" s="10">
        <v>0</v>
      </c>
      <c r="Z9" s="10">
        <v>2026</v>
      </c>
      <c r="AA9" s="5">
        <v>14000</v>
      </c>
      <c r="AB9" s="12">
        <f>R9*AA9</f>
      </c>
      <c r="AC9" s="12">
        <f>IF(15&gt;0,AB9*MAX(0,X9)/15,0)</f>
      </c>
      <c r="AD9" s="12">
        <f>AB9*0.04</f>
      </c>
      <c r="AE9" s="13">
        <v>85000</v>
      </c>
      <c r="AF9" s="14" t="s">
        <v>52</v>
      </c>
      <c r="AG9" s="10">
        <v>5</v>
      </c>
      <c r="AH9" s="10">
        <v>1</v>
      </c>
    </row>
    <row r="10" ht="20" customHeight="1" spans="1:34" x14ac:dyDescent="0.25">
      <c r="A10" s="15" t="s">
        <v>137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6"/>
      <c r="W10" s="16"/>
      <c r="X10" s="16"/>
      <c r="Y10" s="16"/>
      <c r="Z10" s="16"/>
      <c r="AA10" s="16"/>
      <c r="AB10" s="17">
        <f>SUM(AB2:AB9)</f>
      </c>
      <c r="AC10" s="17">
        <f>SUM(AC2:AC9)</f>
      </c>
      <c r="AD10" s="17">
        <f>SUM(AD2:AD9)</f>
      </c>
      <c r="AE10" s="16"/>
      <c r="AF10" s="16"/>
      <c r="AG10" s="16"/>
      <c r="AH10" s="16"/>
    </row>
  </sheetData>
  <mergeCells count="1">
    <mergeCell ref="A10:T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2" width="10" customWidth="1"/>
  </cols>
  <sheetData>
    <row r="1" spans="1:2" x14ac:dyDescent="0.25">
      <c r="A1" s="18" t="s">
        <v>138</v>
      </c>
      <c r="B1" s="19">
        <v>0.05</v>
      </c>
    </row>
    <row r="2" ht="60" customHeight="1" spans="1:32" x14ac:dyDescent="0.25">
      <c r="A2" s="20" t="s">
        <v>1</v>
      </c>
      <c r="B2" s="20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</row>
    <row r="3" spans="1:32" x14ac:dyDescent="0.25">
      <c r="A3" s="21" t="s">
        <v>35</v>
      </c>
      <c r="B3" s="22">
        <f>SUM(C3:AF3)</f>
      </c>
      <c r="C3" s="22">
        <f>SUMPRODUCT(('Zonelark FCA Log'!$B$2:$B$9=$A3)*('Zonelark FCA Log'!$Z$2:$Z$9=2027)*'Zonelark FCA Log'!$AB$2:$AB$9)*(1+$B$1)^1</f>
      </c>
      <c r="D3" s="22">
        <f>SUMPRODUCT(('Zonelark FCA Log'!$B$2:$B$9=$A3)*('Zonelark FCA Log'!$Z$2:$Z$9=2028)*'Zonelark FCA Log'!$AB$2:$AB$9)*(1+$B$1)^2</f>
      </c>
      <c r="E3" s="22">
        <f>SUMPRODUCT(('Zonelark FCA Log'!$B$2:$B$9=$A3)*('Zonelark FCA Log'!$Z$2:$Z$9=2029)*'Zonelark FCA Log'!$AB$2:$AB$9)*(1+$B$1)^3</f>
      </c>
      <c r="F3" s="22">
        <f>SUMPRODUCT(('Zonelark FCA Log'!$B$2:$B$9=$A3)*('Zonelark FCA Log'!$Z$2:$Z$9=2030)*'Zonelark FCA Log'!$AB$2:$AB$9)*(1+$B$1)^4</f>
      </c>
      <c r="G3" s="22">
        <f>SUMPRODUCT(('Zonelark FCA Log'!$B$2:$B$9=$A3)*('Zonelark FCA Log'!$Z$2:$Z$9=2031)*'Zonelark FCA Log'!$AB$2:$AB$9)*(1+$B$1)^5</f>
      </c>
      <c r="H3" s="22">
        <f>SUMPRODUCT(('Zonelark FCA Log'!$B$2:$B$9=$A3)*('Zonelark FCA Log'!$Z$2:$Z$9=2032)*'Zonelark FCA Log'!$AB$2:$AB$9)*(1+$B$1)^6</f>
      </c>
      <c r="I3" s="22">
        <f>SUMPRODUCT(('Zonelark FCA Log'!$B$2:$B$9=$A3)*('Zonelark FCA Log'!$Z$2:$Z$9=2033)*'Zonelark FCA Log'!$AB$2:$AB$9)*(1+$B$1)^7</f>
      </c>
      <c r="J3" s="22">
        <f>SUMPRODUCT(('Zonelark FCA Log'!$B$2:$B$9=$A3)*('Zonelark FCA Log'!$Z$2:$Z$9=2034)*'Zonelark FCA Log'!$AB$2:$AB$9)*(1+$B$1)^8</f>
      </c>
      <c r="K3" s="22">
        <f>SUMPRODUCT(('Zonelark FCA Log'!$B$2:$B$9=$A3)*('Zonelark FCA Log'!$Z$2:$Z$9=2035)*'Zonelark FCA Log'!$AB$2:$AB$9)*(1+$B$1)^9</f>
      </c>
      <c r="L3" s="22">
        <f>SUMPRODUCT(('Zonelark FCA Log'!$B$2:$B$9=$A3)*('Zonelark FCA Log'!$Z$2:$Z$9=2036)*'Zonelark FCA Log'!$AB$2:$AB$9)*(1+$B$1)^10</f>
      </c>
      <c r="M3" s="22">
        <f>SUMPRODUCT(('Zonelark FCA Log'!$B$2:$B$9=$A3)*('Zonelark FCA Log'!$Z$2:$Z$9=2037)*'Zonelark FCA Log'!$AB$2:$AB$9)*(1+$B$1)^11</f>
      </c>
      <c r="N3" s="22">
        <f>SUMPRODUCT(('Zonelark FCA Log'!$B$2:$B$9=$A3)*('Zonelark FCA Log'!$Z$2:$Z$9=2038)*'Zonelark FCA Log'!$AB$2:$AB$9)*(1+$B$1)^12</f>
      </c>
      <c r="O3" s="22">
        <f>SUMPRODUCT(('Zonelark FCA Log'!$B$2:$B$9=$A3)*('Zonelark FCA Log'!$Z$2:$Z$9=2039)*'Zonelark FCA Log'!$AB$2:$AB$9)*(1+$B$1)^13</f>
      </c>
      <c r="P3" s="22">
        <f>SUMPRODUCT(('Zonelark FCA Log'!$B$2:$B$9=$A3)*('Zonelark FCA Log'!$Z$2:$Z$9=2040)*'Zonelark FCA Log'!$AB$2:$AB$9)*(1+$B$1)^14</f>
      </c>
      <c r="Q3" s="22">
        <f>SUMPRODUCT(('Zonelark FCA Log'!$B$2:$B$9=$A3)*('Zonelark FCA Log'!$Z$2:$Z$9=2041)*'Zonelark FCA Log'!$AB$2:$AB$9)*(1+$B$1)^15</f>
      </c>
      <c r="R3" s="22">
        <f>SUMPRODUCT(('Zonelark FCA Log'!$B$2:$B$9=$A3)*('Zonelark FCA Log'!$Z$2:$Z$9=2042)*'Zonelark FCA Log'!$AB$2:$AB$9)*(1+$B$1)^16</f>
      </c>
      <c r="S3" s="22">
        <f>SUMPRODUCT(('Zonelark FCA Log'!$B$2:$B$9=$A3)*('Zonelark FCA Log'!$Z$2:$Z$9=2043)*'Zonelark FCA Log'!$AB$2:$AB$9)*(1+$B$1)^17</f>
      </c>
      <c r="T3" s="22">
        <f>SUMPRODUCT(('Zonelark FCA Log'!$B$2:$B$9=$A3)*('Zonelark FCA Log'!$Z$2:$Z$9=2044)*'Zonelark FCA Log'!$AB$2:$AB$9)*(1+$B$1)^18</f>
      </c>
      <c r="U3" s="22">
        <f>SUMPRODUCT(('Zonelark FCA Log'!$B$2:$B$9=$A3)*('Zonelark FCA Log'!$Z$2:$Z$9=2045)*'Zonelark FCA Log'!$AB$2:$AB$9)*(1+$B$1)^19</f>
      </c>
      <c r="V3" s="22">
        <f>SUMPRODUCT(('Zonelark FCA Log'!$B$2:$B$9=$A3)*('Zonelark FCA Log'!$Z$2:$Z$9=2046)*'Zonelark FCA Log'!$AB$2:$AB$9)*(1+$B$1)^20</f>
      </c>
      <c r="W3" s="22">
        <f>SUMPRODUCT(('Zonelark FCA Log'!$B$2:$B$9=$A3)*('Zonelark FCA Log'!$Z$2:$Z$9=2047)*'Zonelark FCA Log'!$AB$2:$AB$9)*(1+$B$1)^21</f>
      </c>
      <c r="X3" s="22">
        <f>SUMPRODUCT(('Zonelark FCA Log'!$B$2:$B$9=$A3)*('Zonelark FCA Log'!$Z$2:$Z$9=2048)*'Zonelark FCA Log'!$AB$2:$AB$9)*(1+$B$1)^22</f>
      </c>
      <c r="Y3" s="22">
        <f>SUMPRODUCT(('Zonelark FCA Log'!$B$2:$B$9=$A3)*('Zonelark FCA Log'!$Z$2:$Z$9=2049)*'Zonelark FCA Log'!$AB$2:$AB$9)*(1+$B$1)^23</f>
      </c>
      <c r="Z3" s="22">
        <f>SUMPRODUCT(('Zonelark FCA Log'!$B$2:$B$9=$A3)*('Zonelark FCA Log'!$Z$2:$Z$9=2050)*'Zonelark FCA Log'!$AB$2:$AB$9)*(1+$B$1)^24</f>
      </c>
      <c r="AA3" s="22">
        <f>SUMPRODUCT(('Zonelark FCA Log'!$B$2:$B$9=$A3)*('Zonelark FCA Log'!$Z$2:$Z$9=2051)*'Zonelark FCA Log'!$AB$2:$AB$9)*(1+$B$1)^25</f>
      </c>
      <c r="AB3" s="22">
        <f>SUMPRODUCT(('Zonelark FCA Log'!$B$2:$B$9=$A3)*('Zonelark FCA Log'!$Z$2:$Z$9=2052)*'Zonelark FCA Log'!$AB$2:$AB$9)*(1+$B$1)^26</f>
      </c>
      <c r="AC3" s="22">
        <f>SUMPRODUCT(('Zonelark FCA Log'!$B$2:$B$9=$A3)*('Zonelark FCA Log'!$Z$2:$Z$9=2053)*'Zonelark FCA Log'!$AB$2:$AB$9)*(1+$B$1)^27</f>
      </c>
      <c r="AD3" s="22">
        <f>SUMPRODUCT(('Zonelark FCA Log'!$B$2:$B$9=$A3)*('Zonelark FCA Log'!$Z$2:$Z$9=2054)*'Zonelark FCA Log'!$AB$2:$AB$9)*(1+$B$1)^28</f>
      </c>
      <c r="AE3" s="22">
        <f>SUMPRODUCT(('Zonelark FCA Log'!$B$2:$B$9=$A3)*('Zonelark FCA Log'!$Z$2:$Z$9=2055)*'Zonelark FCA Log'!$AB$2:$AB$9)*(1+$B$1)^29</f>
      </c>
      <c r="AF3" s="22">
        <f>SUMPRODUCT(('Zonelark FCA Log'!$B$2:$B$9=$A3)*('Zonelark FCA Log'!$Z$2:$Z$9=2056)*'Zonelark FCA Log'!$AB$2:$AB$9)*(1+$B$1)^30</f>
      </c>
    </row>
    <row r="4" ht="20" customHeight="1" spans="1:32" x14ac:dyDescent="0.25">
      <c r="A4" s="15" t="s">
        <v>170</v>
      </c>
      <c r="B4" s="23">
        <f>SUM(B3:B3)</f>
      </c>
      <c r="C4" s="23">
        <f>SUM(C3:C3)</f>
      </c>
      <c r="D4" s="23">
        <f>SUM(D3:D3)</f>
      </c>
      <c r="E4" s="23">
        <f>SUM(E3:E3)</f>
      </c>
      <c r="F4" s="23">
        <f>SUM(F3:F3)</f>
      </c>
      <c r="G4" s="23">
        <f>SUM(G3:G3)</f>
      </c>
      <c r="H4" s="23">
        <f>SUM(H3:H3)</f>
      </c>
      <c r="I4" s="23">
        <f>SUM(I3:I3)</f>
      </c>
      <c r="J4" s="23">
        <f>SUM(J3:J3)</f>
      </c>
      <c r="K4" s="23">
        <f>SUM(K3:K3)</f>
      </c>
      <c r="L4" s="23">
        <f>SUM(L3:L3)</f>
      </c>
      <c r="M4" s="23">
        <f>SUM(M3:M3)</f>
      </c>
      <c r="N4" s="23">
        <f>SUM(N3:N3)</f>
      </c>
      <c r="O4" s="23">
        <f>SUM(O3:O3)</f>
      </c>
      <c r="P4" s="23">
        <f>SUM(P3:P3)</f>
      </c>
      <c r="Q4" s="23">
        <f>SUM(Q3:Q3)</f>
      </c>
      <c r="R4" s="23">
        <f>SUM(R3:R3)</f>
      </c>
      <c r="S4" s="23">
        <f>SUM(S3:S3)</f>
      </c>
      <c r="T4" s="23">
        <f>SUM(T3:T3)</f>
      </c>
      <c r="U4" s="23">
        <f>SUM(U3:U3)</f>
      </c>
      <c r="V4" s="23">
        <f>SUM(V3:V3)</f>
      </c>
      <c r="W4" s="23">
        <f>SUM(W3:W3)</f>
      </c>
      <c r="X4" s="23">
        <f>SUM(X3:X3)</f>
      </c>
      <c r="Y4" s="23">
        <f>SUM(Y3:Y3)</f>
      </c>
      <c r="Z4" s="23">
        <f>SUM(Z3:Z3)</f>
      </c>
      <c r="AA4" s="23">
        <f>SUM(AA3:AA3)</f>
      </c>
      <c r="AB4" s="23">
        <f>SUM(AB3:AB3)</f>
      </c>
      <c r="AC4" s="23">
        <f>SUM(AC3:AC3)</f>
      </c>
      <c r="AD4" s="23">
        <f>SUM(AD3:AD3)</f>
      </c>
      <c r="AE4" s="23">
        <f>SUM(AE3:AE3)</f>
      </c>
      <c r="AF4" s="23">
        <f>SUM(AF3:AF3)</f>
      </c>
    </row>
  </sheetData>
  <dataValidations count="1">
    <dataValidation type="decimal" showInputMessage="1" prompt="Enter a rate between 0.50% and 10.00%." showErrorMessage="1" errorStyle="stop" errorTitle="Invalid inflation rate" error="Enter a rate between 0.50% and 10.00%." sqref="B1">
      <formula1>0.005</formula1>
      <formula2>0.1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Zonelark FCA Log</vt:lpstr>
      <vt:lpstr>output-capX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Zonelark 2.0</dc:creator>
  <dc:title/>
  <dc:subject/>
  <dc:description/>
  <cp:keywords/>
  <cp:category/>
  <cp:lastModifiedBy>Unknown</cp:lastModifiedBy>
  <dcterms:created xsi:type="dcterms:W3CDTF">2026-07-24T17:20:31Z</dcterms:created>
  <dcterms:modified xsi:type="dcterms:W3CDTF">2026-07-24T17:20:31Z</dcterms:modified>
</cp:coreProperties>
</file>